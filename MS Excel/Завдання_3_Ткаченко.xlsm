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ЦяКнига"/>
  <mc:AlternateContent xmlns:mc="http://schemas.openxmlformats.org/markup-compatibility/2006">
    <mc:Choice Requires="x15">
      <x15ac:absPath xmlns:x15ac="http://schemas.microsoft.com/office/spreadsheetml/2010/11/ac" url="F:\College\ll yer\Практика\"/>
    </mc:Choice>
  </mc:AlternateContent>
  <xr:revisionPtr revIDLastSave="0" documentId="13_ncr:1_{E1B6246F-BA64-4011-A0C5-1390F2CD30D3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Практична_8.1" sheetId="1" r:id="rId1"/>
    <sheet name="Практична_8.2" sheetId="2" r:id="rId2"/>
    <sheet name="Практична 9.1" sheetId="3" r:id="rId3"/>
    <sheet name="Практична 9.2" sheetId="4" r:id="rId4"/>
    <sheet name="Практична 9.3" sheetId="5" r:id="rId5"/>
    <sheet name="Практична 9.4" sheetId="6" r:id="rId6"/>
    <sheet name="Практична 10" sheetId="7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7" l="1"/>
  <c r="M9" i="7"/>
  <c r="L9" i="7"/>
  <c r="K9" i="7"/>
  <c r="J9" i="7"/>
  <c r="I9" i="7"/>
  <c r="H9" i="7"/>
  <c r="G9" i="7"/>
  <c r="F9" i="7"/>
  <c r="E9" i="7"/>
  <c r="D9" i="7"/>
  <c r="N8" i="7"/>
  <c r="M8" i="7"/>
  <c r="L8" i="7"/>
  <c r="K8" i="7"/>
  <c r="J8" i="7"/>
  <c r="I8" i="7"/>
  <c r="H8" i="7"/>
  <c r="G8" i="7"/>
  <c r="F8" i="7"/>
  <c r="E8" i="7"/>
  <c r="D8" i="7"/>
  <c r="N7" i="7"/>
  <c r="M7" i="7"/>
  <c r="L7" i="7"/>
  <c r="K7" i="7"/>
  <c r="J7" i="7"/>
  <c r="I7" i="7"/>
  <c r="H7" i="7"/>
  <c r="G7" i="7"/>
  <c r="F7" i="7"/>
  <c r="E7" i="7"/>
  <c r="D7" i="7"/>
  <c r="N6" i="7"/>
  <c r="M6" i="7"/>
  <c r="L6" i="7"/>
  <c r="K6" i="7"/>
  <c r="J6" i="7"/>
  <c r="I6" i="7"/>
  <c r="H6" i="7"/>
  <c r="G6" i="7"/>
  <c r="F6" i="7"/>
  <c r="E6" i="7"/>
  <c r="D6" i="7"/>
  <c r="N5" i="7"/>
  <c r="M5" i="7"/>
  <c r="L5" i="7"/>
  <c r="K5" i="7"/>
  <c r="J5" i="7"/>
  <c r="I5" i="7"/>
  <c r="H5" i="7"/>
  <c r="G5" i="7"/>
  <c r="F5" i="7"/>
  <c r="E5" i="7"/>
  <c r="D5" i="7"/>
  <c r="N4" i="7"/>
  <c r="M4" i="7"/>
  <c r="L4" i="7"/>
  <c r="K4" i="7"/>
  <c r="J4" i="7"/>
  <c r="I4" i="7"/>
  <c r="H4" i="7"/>
  <c r="G4" i="7"/>
  <c r="F4" i="7"/>
  <c r="E4" i="7"/>
  <c r="D4" i="7"/>
  <c r="N3" i="7"/>
  <c r="M3" i="7"/>
  <c r="L3" i="7"/>
  <c r="K3" i="7"/>
  <c r="J3" i="7"/>
  <c r="I3" i="7"/>
  <c r="H3" i="7"/>
  <c r="G3" i="7"/>
  <c r="F3" i="7"/>
  <c r="E3" i="7"/>
  <c r="D3" i="7"/>
  <c r="N2" i="7"/>
  <c r="M2" i="7"/>
  <c r="L2" i="7"/>
  <c r="K2" i="7"/>
  <c r="J2" i="7"/>
  <c r="I2" i="7"/>
  <c r="H2" i="7"/>
  <c r="G2" i="7"/>
  <c r="F2" i="7"/>
  <c r="E2" i="7"/>
  <c r="D2" i="7"/>
  <c r="E7" i="6"/>
  <c r="E8" i="6"/>
  <c r="E6" i="6"/>
  <c r="D7" i="6"/>
  <c r="D8" i="6"/>
  <c r="D6" i="6"/>
  <c r="F6" i="5"/>
  <c r="E6" i="5"/>
  <c r="F2" i="5"/>
  <c r="E2" i="5"/>
  <c r="D3" i="5"/>
  <c r="D4" i="5"/>
  <c r="D5" i="5"/>
  <c r="D6" i="5"/>
  <c r="D7" i="5"/>
  <c r="D8" i="5"/>
  <c r="D2" i="5"/>
  <c r="E4" i="4"/>
  <c r="E3" i="4"/>
  <c r="E2" i="4"/>
  <c r="E14" i="3"/>
  <c r="E13" i="3"/>
  <c r="E12" i="3"/>
  <c r="F3" i="2"/>
  <c r="F4" i="2"/>
  <c r="F5" i="2"/>
  <c r="F9" i="2"/>
  <c r="F6" i="2"/>
  <c r="F7" i="2"/>
  <c r="F8" i="2"/>
  <c r="F2" i="2"/>
  <c r="C3" i="2"/>
  <c r="C8" i="2"/>
  <c r="C4" i="2"/>
  <c r="C9" i="2"/>
  <c r="C5" i="2"/>
  <c r="C6" i="2"/>
  <c r="C7" i="2"/>
  <c r="C2" i="2"/>
  <c r="B3" i="2"/>
  <c r="B4" i="2"/>
  <c r="B9" i="2"/>
  <c r="B5" i="2"/>
  <c r="B6" i="2"/>
  <c r="B7" i="2"/>
  <c r="B8" i="2"/>
  <c r="B2" i="2"/>
  <c r="B3" i="1"/>
</calcChain>
</file>

<file path=xl/sharedStrings.xml><?xml version="1.0" encoding="utf-8"?>
<sst xmlns="http://schemas.openxmlformats.org/spreadsheetml/2006/main" count="96" uniqueCount="70">
  <si>
    <t>яблуко</t>
  </si>
  <si>
    <t>Фруктовий словник</t>
  </si>
  <si>
    <t>Фрукт</t>
  </si>
  <si>
    <t>Переклад</t>
  </si>
  <si>
    <t>Назва продукту</t>
  </si>
  <si>
    <t>Категорія продукту</t>
  </si>
  <si>
    <t>Одиниці вимірювання</t>
  </si>
  <si>
    <t>Ціна за одиницю, ум.од.</t>
  </si>
  <si>
    <t>Обсяг</t>
  </si>
  <si>
    <t>Вартість</t>
  </si>
  <si>
    <t>Буряк</t>
  </si>
  <si>
    <t>Гречка</t>
  </si>
  <si>
    <t>Картопля</t>
  </si>
  <si>
    <t>Кава</t>
  </si>
  <si>
    <t>Горошок консервований</t>
  </si>
  <si>
    <t>Пшоно</t>
  </si>
  <si>
    <t>Закарпатська випічка</t>
  </si>
  <si>
    <t>Оливкова олія</t>
  </si>
  <si>
    <t>Період</t>
  </si>
  <si>
    <t>Баланс товарів та послуг,
млн.дол.США</t>
  </si>
  <si>
    <t>січень-березень 2012</t>
  </si>
  <si>
    <t>квітень-червень 2012</t>
  </si>
  <si>
    <t>січень-березень 2013</t>
  </si>
  <si>
    <t>квітень-червень 2013</t>
  </si>
  <si>
    <t>липень-вересень 2012</t>
  </si>
  <si>
    <t>жовтень-грудень 2012</t>
  </si>
  <si>
    <t>липень-вересень 2013</t>
  </si>
  <si>
    <t>жовтень-грудень 2013</t>
  </si>
  <si>
    <t>ПІБ</t>
  </si>
  <si>
    <t>Зарплата</t>
  </si>
  <si>
    <t>Іванов</t>
  </si>
  <si>
    <t>Петров</t>
  </si>
  <si>
    <t>Сидоров</t>
  </si>
  <si>
    <t>Морозов</t>
  </si>
  <si>
    <t>Жаріков</t>
  </si>
  <si>
    <t>Теплов</t>
  </si>
  <si>
    <t>Віртуальнов</t>
  </si>
  <si>
    <t>Зарплата, грн.</t>
  </si>
  <si>
    <t>Кількість</t>
  </si>
  <si>
    <t>1500 і більше</t>
  </si>
  <si>
    <t>менше 2500</t>
  </si>
  <si>
    <t>рівно 1000</t>
  </si>
  <si>
    <t>Працівник</t>
  </si>
  <si>
    <t>Зарплата, гр.од.</t>
  </si>
  <si>
    <t>Премія, гр. од.</t>
  </si>
  <si>
    <t>Всього до виплати, гр. од.</t>
  </si>
  <si>
    <t>Сума виплат працівникам, які одержали Зарплату і премію, сума (гр. од.)</t>
  </si>
  <si>
    <t>Сума виплат працівникам, які не одержали зарплату і премію, сума (гр. од.)</t>
  </si>
  <si>
    <t>Всього таких працівників, осіб</t>
  </si>
  <si>
    <t>Ціна одиниці продукції, гр. од.</t>
  </si>
  <si>
    <t>Повар</t>
  </si>
  <si>
    <t>Вид морозива</t>
  </si>
  <si>
    <t>Обсяг виготовленої продукції, од.</t>
  </si>
  <si>
    <t>Преміальна Сума, гр. од.</t>
  </si>
  <si>
    <t>пломбір</t>
  </si>
  <si>
    <t>пломбір особливий</t>
  </si>
  <si>
    <t>Вартість виготовленої продукції, гр. од.</t>
  </si>
  <si>
    <r>
      <t xml:space="preserve">Преміальні за </t>
    </r>
    <r>
      <rPr>
        <b/>
        <sz val="11"/>
        <color theme="1"/>
        <rFont val="Calibri"/>
        <family val="2"/>
        <charset val="204"/>
        <scheme val="minor"/>
      </rPr>
      <t>морозиво пломбір</t>
    </r>
  </si>
  <si>
    <r>
      <t xml:space="preserve">Преміальні за </t>
    </r>
    <r>
      <rPr>
        <b/>
        <sz val="11"/>
        <color theme="1"/>
        <rFont val="Calibri"/>
        <family val="2"/>
        <charset val="204"/>
        <scheme val="minor"/>
      </rPr>
      <t>морозиво пломбір особливий</t>
    </r>
  </si>
  <si>
    <t>№
п/п</t>
  </si>
  <si>
    <t>Прізвище, ім'я, по
батькові</t>
  </si>
  <si>
    <t>Дата
народження</t>
  </si>
  <si>
    <t>Денисов Олексей</t>
  </si>
  <si>
    <t>Корольова Анастасія</t>
  </si>
  <si>
    <t>Бахтіяров Армен</t>
  </si>
  <si>
    <t>Кондратенко Владлен</t>
  </si>
  <si>
    <t>Куриленко Оксана</t>
  </si>
  <si>
    <t>Михайленко Денис</t>
  </si>
  <si>
    <t>Копил Максим</t>
  </si>
  <si>
    <t>Петренко Єгор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</si>
</sst>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rgb="FF3F3F3F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medium">
        <color rgb="FF3F3F3F"/>
      </right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medium">
        <color rgb="FF3F3F3F"/>
      </right>
      <top/>
      <bottom style="thin">
        <color rgb="FF3F3F3F"/>
      </bottom>
      <diagonal/>
    </border>
    <border>
      <left style="thin">
        <color rgb="FF3F3F3F"/>
      </left>
      <right style="medium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4" fillId="3" borderId="2" applyNumberFormat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top" wrapText="1"/>
    </xf>
    <xf numFmtId="1" fontId="0" fillId="0" borderId="1" xfId="0" applyNumberForma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right"/>
    </xf>
    <xf numFmtId="0" fontId="1" fillId="0" borderId="1" xfId="0" applyFont="1" applyBorder="1" applyAlignment="1">
      <alignment horizontal="left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horizontal="left" wrapText="1"/>
    </xf>
    <xf numFmtId="10" fontId="0" fillId="0" borderId="1" xfId="0" applyNumberFormat="1" applyBorder="1" applyAlignment="1">
      <alignment horizontal="left" wrapText="1"/>
    </xf>
    <xf numFmtId="9" fontId="0" fillId="0" borderId="1" xfId="0" applyNumberFormat="1" applyBorder="1" applyAlignment="1">
      <alignment horizontal="left" wrapText="1"/>
    </xf>
    <xf numFmtId="14" fontId="4" fillId="0" borderId="3" xfId="1" applyNumberFormat="1" applyFill="1" applyBorder="1" applyAlignment="1">
      <alignment horizontal="center" vertical="center"/>
    </xf>
    <xf numFmtId="14" fontId="4" fillId="0" borderId="4" xfId="1" applyNumberFormat="1" applyFill="1" applyBorder="1" applyAlignment="1">
      <alignment horizontal="center" vertical="center"/>
    </xf>
    <xf numFmtId="14" fontId="4" fillId="0" borderId="5" xfId="1" applyNumberFormat="1" applyFill="1" applyBorder="1" applyAlignment="1">
      <alignment horizontal="center" vertical="center"/>
    </xf>
    <xf numFmtId="1" fontId="4" fillId="0" borderId="6" xfId="1" applyNumberFormat="1" applyFill="1" applyBorder="1" applyAlignment="1">
      <alignment horizontal="center" vertical="center"/>
    </xf>
    <xf numFmtId="0" fontId="4" fillId="0" borderId="6" xfId="1" applyFill="1" applyBorder="1" applyAlignment="1">
      <alignment horizontal="left"/>
    </xf>
    <xf numFmtId="14" fontId="4" fillId="0" borderId="7" xfId="1" applyNumberFormat="1" applyFill="1" applyBorder="1" applyAlignment="1">
      <alignment horizontal="center"/>
    </xf>
    <xf numFmtId="0" fontId="4" fillId="0" borderId="8" xfId="1" applyNumberFormat="1" applyFill="1" applyBorder="1" applyAlignment="1">
      <alignment horizontal="center" vertical="center"/>
    </xf>
    <xf numFmtId="1" fontId="4" fillId="0" borderId="9" xfId="1" applyNumberFormat="1" applyFill="1" applyBorder="1" applyAlignment="1">
      <alignment horizontal="center" vertical="center"/>
    </xf>
    <xf numFmtId="0" fontId="4" fillId="0" borderId="9" xfId="1" applyFill="1" applyBorder="1" applyAlignment="1">
      <alignment horizontal="left"/>
    </xf>
    <xf numFmtId="14" fontId="4" fillId="0" borderId="10" xfId="1" applyNumberFormat="1" applyFill="1" applyBorder="1" applyAlignment="1">
      <alignment horizontal="center"/>
    </xf>
    <xf numFmtId="1" fontId="4" fillId="0" borderId="2" xfId="1" applyNumberFormat="1" applyFill="1" applyAlignment="1">
      <alignment horizontal="center" vertical="center"/>
    </xf>
    <xf numFmtId="0" fontId="4" fillId="0" borderId="2" xfId="1" applyFill="1" applyAlignment="1">
      <alignment horizontal="left"/>
    </xf>
    <xf numFmtId="14" fontId="4" fillId="0" borderId="11" xfId="1" applyNumberFormat="1" applyFill="1" applyBorder="1" applyAlignment="1">
      <alignment horizontal="center"/>
    </xf>
    <xf numFmtId="0" fontId="4" fillId="0" borderId="3" xfId="1" applyFill="1" applyBorder="1" applyAlignment="1">
      <alignment horizontal="center" vertical="center" wrapText="1"/>
    </xf>
    <xf numFmtId="0" fontId="4" fillId="0" borderId="4" xfId="1" applyFill="1" applyBorder="1" applyAlignment="1">
      <alignment horizontal="center" vertical="center" wrapText="1"/>
    </xf>
    <xf numFmtId="0" fontId="4" fillId="0" borderId="5" xfId="1" applyFill="1" applyBorder="1" applyAlignment="1">
      <alignment horizontal="center" vertical="center" wrapText="1"/>
    </xf>
  </cellXfs>
  <cellStyles count="2">
    <cellStyle name="Звичайний" xfId="0" builtinId="0"/>
    <cellStyle name="Результат" xfId="1" builtinId="2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/>
  <dimension ref="A1:B3"/>
  <sheetViews>
    <sheetView workbookViewId="0">
      <selection activeCell="C3" sqref="C3"/>
    </sheetView>
  </sheetViews>
  <sheetFormatPr defaultRowHeight="15" x14ac:dyDescent="0.25"/>
  <cols>
    <col min="1" max="1" width="14.85546875" customWidth="1"/>
    <col min="2" max="2" width="22.5703125" customWidth="1"/>
  </cols>
  <sheetData>
    <row r="1" spans="1:2" x14ac:dyDescent="0.25">
      <c r="A1" s="22" t="s">
        <v>1</v>
      </c>
      <c r="B1" s="22"/>
    </row>
    <row r="2" spans="1:2" x14ac:dyDescent="0.25">
      <c r="A2" s="2" t="s">
        <v>2</v>
      </c>
      <c r="B2" s="2" t="s">
        <v>3</v>
      </c>
    </row>
    <row r="3" spans="1:2" x14ac:dyDescent="0.25">
      <c r="A3" s="3" t="s">
        <v>0</v>
      </c>
      <c r="B3" s="4" t="str">
        <f>FruitDictionary(A3)</f>
        <v>apple</v>
      </c>
    </row>
  </sheetData>
  <mergeCells count="1">
    <mergeCell ref="A1:B1"/>
  </mergeCells>
  <dataValidations count="1">
    <dataValidation type="list" allowBlank="1" showInputMessage="1" showErrorMessage="1" sqref="A3" xr:uid="{9DCB2D24-DE14-4317-8FA6-45D794E775EF}">
      <formula1>"яблуко,помаранч,слива,полуниця"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5E98F-8DB0-415E-AC63-4A2196876C07}">
  <sheetPr codeName="Аркуш2"/>
  <dimension ref="A1:F9"/>
  <sheetViews>
    <sheetView workbookViewId="0">
      <selection activeCell="D4" sqref="D4"/>
    </sheetView>
  </sheetViews>
  <sheetFormatPr defaultRowHeight="15" x14ac:dyDescent="0.25"/>
  <cols>
    <col min="1" max="1" width="27" customWidth="1"/>
    <col min="2" max="2" width="17.28515625" customWidth="1"/>
    <col min="3" max="3" width="17.7109375" customWidth="1"/>
    <col min="4" max="4" width="16.28515625" customWidth="1"/>
    <col min="5" max="5" width="11.5703125" customWidth="1"/>
    <col min="6" max="6" width="14.85546875" customWidth="1"/>
  </cols>
  <sheetData>
    <row r="1" spans="1:6" s="1" customFormat="1" ht="35.25" customHeight="1" x14ac:dyDescent="0.25">
      <c r="A1" s="7" t="s">
        <v>4</v>
      </c>
      <c r="B1" s="7" t="s">
        <v>5</v>
      </c>
      <c r="C1" s="7" t="s">
        <v>6</v>
      </c>
      <c r="D1" s="7" t="s">
        <v>7</v>
      </c>
      <c r="E1" s="7" t="s">
        <v>8</v>
      </c>
      <c r="F1" s="7" t="s">
        <v>9</v>
      </c>
    </row>
    <row r="2" spans="1:6" x14ac:dyDescent="0.25">
      <c r="A2" s="6" t="s">
        <v>10</v>
      </c>
      <c r="B2" s="6" t="str">
        <f>P(A2)</f>
        <v>овочі</v>
      </c>
      <c r="C2" s="6" t="str">
        <f>K(B2)</f>
        <v>кг</v>
      </c>
      <c r="D2" s="9">
        <v>7.3</v>
      </c>
      <c r="E2" s="10">
        <v>2</v>
      </c>
      <c r="F2" s="6">
        <f>calculateCost(E2,D2)</f>
        <v>7.3</v>
      </c>
    </row>
    <row r="3" spans="1:6" x14ac:dyDescent="0.25">
      <c r="A3" s="6" t="s">
        <v>11</v>
      </c>
      <c r="B3" s="6" t="str">
        <f t="shared" ref="B3:B9" si="0">P(A3)</f>
        <v>крупа</v>
      </c>
      <c r="C3" s="6" t="str">
        <f t="shared" ref="C3:C9" si="1">K(B3)</f>
        <v>упаковка</v>
      </c>
      <c r="D3" s="9">
        <v>30.9</v>
      </c>
      <c r="E3" s="10">
        <v>1</v>
      </c>
      <c r="F3" s="6">
        <f t="shared" ref="F3:F9" si="2">calculateCost(E3,D3)</f>
        <v>30.9</v>
      </c>
    </row>
    <row r="4" spans="1:6" x14ac:dyDescent="0.25">
      <c r="A4" s="6" t="s">
        <v>12</v>
      </c>
      <c r="B4" s="6" t="str">
        <f t="shared" si="0"/>
        <v>овочі</v>
      </c>
      <c r="C4" s="6" t="str">
        <f t="shared" si="1"/>
        <v>кг</v>
      </c>
      <c r="D4" s="9">
        <v>10.3</v>
      </c>
      <c r="E4" s="10">
        <v>14</v>
      </c>
      <c r="F4" s="6">
        <f t="shared" si="2"/>
        <v>9.5790000000000006</v>
      </c>
    </row>
    <row r="5" spans="1:6" x14ac:dyDescent="0.25">
      <c r="A5" s="6" t="s">
        <v>13</v>
      </c>
      <c r="B5" s="6" t="str">
        <f t="shared" si="0"/>
        <v>напій</v>
      </c>
      <c r="C5" s="6" t="str">
        <f t="shared" si="1"/>
        <v>чашка</v>
      </c>
      <c r="D5" s="9">
        <v>80.900000000000006</v>
      </c>
      <c r="E5" s="10">
        <v>4</v>
      </c>
      <c r="F5" s="6">
        <f t="shared" si="2"/>
        <v>80.900000000000006</v>
      </c>
    </row>
    <row r="6" spans="1:6" x14ac:dyDescent="0.25">
      <c r="A6" s="6" t="s">
        <v>14</v>
      </c>
      <c r="B6" s="6" t="str">
        <f t="shared" si="0"/>
        <v>овочі</v>
      </c>
      <c r="C6" s="6" t="str">
        <f t="shared" si="1"/>
        <v>кг</v>
      </c>
      <c r="D6" s="9">
        <v>12</v>
      </c>
      <c r="E6" s="10">
        <v>5</v>
      </c>
      <c r="F6" s="6">
        <f t="shared" si="2"/>
        <v>12</v>
      </c>
    </row>
    <row r="7" spans="1:6" x14ac:dyDescent="0.25">
      <c r="A7" s="6" t="s">
        <v>15</v>
      </c>
      <c r="B7" s="6" t="str">
        <f t="shared" si="0"/>
        <v>крупа</v>
      </c>
      <c r="C7" s="6" t="str">
        <f t="shared" si="1"/>
        <v>упаковка</v>
      </c>
      <c r="D7" s="9">
        <v>15.9</v>
      </c>
      <c r="E7" s="10">
        <v>3</v>
      </c>
      <c r="F7" s="6">
        <f t="shared" si="2"/>
        <v>15.9</v>
      </c>
    </row>
    <row r="8" spans="1:6" x14ac:dyDescent="0.25">
      <c r="A8" s="6" t="s">
        <v>16</v>
      </c>
      <c r="B8" s="6" t="str">
        <f t="shared" si="0"/>
        <v>хліб</v>
      </c>
      <c r="C8" s="6" t="str">
        <f t="shared" si="1"/>
        <v>шт</v>
      </c>
      <c r="D8" s="9">
        <v>8.1999999999999993</v>
      </c>
      <c r="E8" s="10">
        <v>8</v>
      </c>
      <c r="F8" s="6">
        <f t="shared" si="2"/>
        <v>8.0359999999999996</v>
      </c>
    </row>
    <row r="9" spans="1:6" x14ac:dyDescent="0.25">
      <c r="A9" s="6" t="s">
        <v>17</v>
      </c>
      <c r="B9" s="6" t="str">
        <f t="shared" si="0"/>
        <v>олія</v>
      </c>
      <c r="C9" s="6" t="str">
        <f t="shared" si="1"/>
        <v>пляшка</v>
      </c>
      <c r="D9" s="9">
        <v>35.9</v>
      </c>
      <c r="E9" s="10">
        <v>3</v>
      </c>
      <c r="F9" s="6">
        <f t="shared" si="2"/>
        <v>35.9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F5E82-9698-4AA8-A40C-D270FD48DBC3}">
  <dimension ref="A1:E18"/>
  <sheetViews>
    <sheetView workbookViewId="0">
      <selection activeCell="D11" sqref="D11:E14"/>
    </sheetView>
  </sheetViews>
  <sheetFormatPr defaultRowHeight="15" x14ac:dyDescent="0.25"/>
  <cols>
    <col min="1" max="1" width="25.85546875" customWidth="1"/>
    <col min="2" max="2" width="22.85546875" customWidth="1"/>
    <col min="4" max="4" width="18.140625" customWidth="1"/>
    <col min="5" max="5" width="12.5703125" customWidth="1"/>
  </cols>
  <sheetData>
    <row r="1" spans="1:5" ht="45" x14ac:dyDescent="0.25">
      <c r="A1" s="2" t="s">
        <v>18</v>
      </c>
      <c r="B1" s="11" t="s">
        <v>19</v>
      </c>
    </row>
    <row r="2" spans="1:5" x14ac:dyDescent="0.25">
      <c r="A2" s="12" t="s">
        <v>20</v>
      </c>
      <c r="B2" s="13">
        <v>-2449</v>
      </c>
    </row>
    <row r="3" spans="1:5" x14ac:dyDescent="0.25">
      <c r="A3" s="12" t="s">
        <v>21</v>
      </c>
      <c r="B3" s="13">
        <v>-4105</v>
      </c>
    </row>
    <row r="4" spans="1:5" x14ac:dyDescent="0.25">
      <c r="A4" s="12" t="s">
        <v>24</v>
      </c>
      <c r="B4" s="13">
        <v>-3131</v>
      </c>
    </row>
    <row r="5" spans="1:5" x14ac:dyDescent="0.25">
      <c r="A5" s="12" t="s">
        <v>25</v>
      </c>
      <c r="B5" s="13">
        <v>-4641</v>
      </c>
    </row>
    <row r="6" spans="1:5" x14ac:dyDescent="0.25">
      <c r="A6" s="12" t="s">
        <v>22</v>
      </c>
      <c r="B6" s="13">
        <v>-3223</v>
      </c>
    </row>
    <row r="7" spans="1:5" x14ac:dyDescent="0.25">
      <c r="A7" s="12" t="s">
        <v>23</v>
      </c>
      <c r="B7" s="13">
        <v>-2160</v>
      </c>
    </row>
    <row r="8" spans="1:5" x14ac:dyDescent="0.25">
      <c r="A8" s="12" t="s">
        <v>26</v>
      </c>
      <c r="B8" s="13">
        <v>-5313</v>
      </c>
    </row>
    <row r="9" spans="1:5" x14ac:dyDescent="0.25">
      <c r="A9" s="12" t="s">
        <v>27</v>
      </c>
      <c r="B9" s="13">
        <v>-4788</v>
      </c>
    </row>
    <row r="11" spans="1:5" x14ac:dyDescent="0.25">
      <c r="A11" s="12" t="s">
        <v>28</v>
      </c>
      <c r="B11" s="12" t="s">
        <v>29</v>
      </c>
      <c r="D11" s="16" t="s">
        <v>37</v>
      </c>
      <c r="E11" s="17" t="s">
        <v>38</v>
      </c>
    </row>
    <row r="12" spans="1:5" x14ac:dyDescent="0.25">
      <c r="A12" s="14" t="s">
        <v>30</v>
      </c>
      <c r="B12" s="15">
        <v>1000</v>
      </c>
      <c r="D12" s="18" t="s">
        <v>39</v>
      </c>
      <c r="E12" s="5">
        <f>COUNTIF(B12:B18,"&gt;=1500")</f>
        <v>6</v>
      </c>
    </row>
    <row r="13" spans="1:5" x14ac:dyDescent="0.25">
      <c r="A13" s="14" t="s">
        <v>31</v>
      </c>
      <c r="B13" s="15">
        <v>2000</v>
      </c>
      <c r="D13" s="18" t="s">
        <v>40</v>
      </c>
      <c r="E13" s="5">
        <f>COUNTIF(B12:B18,"&lt;2500")</f>
        <v>4</v>
      </c>
    </row>
    <row r="14" spans="1:5" x14ac:dyDescent="0.25">
      <c r="A14" s="14" t="s">
        <v>32</v>
      </c>
      <c r="B14" s="16">
        <v>3000</v>
      </c>
      <c r="D14" s="18" t="s">
        <v>41</v>
      </c>
      <c r="E14" s="5">
        <f>COUNTIF(B12:B18,"=1000")</f>
        <v>1</v>
      </c>
    </row>
    <row r="15" spans="1:5" x14ac:dyDescent="0.25">
      <c r="A15" s="14" t="s">
        <v>33</v>
      </c>
      <c r="B15" s="16">
        <v>1500</v>
      </c>
    </row>
    <row r="16" spans="1:5" x14ac:dyDescent="0.25">
      <c r="A16" s="14" t="s">
        <v>34</v>
      </c>
      <c r="B16" s="16">
        <v>2300</v>
      </c>
    </row>
    <row r="17" spans="1:2" x14ac:dyDescent="0.25">
      <c r="A17" s="14" t="s">
        <v>35</v>
      </c>
      <c r="B17" s="16">
        <v>2500</v>
      </c>
    </row>
    <row r="18" spans="1:2" x14ac:dyDescent="0.25">
      <c r="A18" s="14" t="s">
        <v>36</v>
      </c>
      <c r="B18" s="16">
        <v>2900</v>
      </c>
    </row>
  </sheetData>
  <phoneticPr fontId="3" type="noConversion"/>
  <conditionalFormatting sqref="B2:B9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{15F3920C-BDA8-4FB1-872F-0D9F007A500A}</x14:id>
        </ext>
      </extLst>
    </cfRule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{C87675A9-6AC2-42DA-A5CF-511CDB17081E}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F3920C-BDA8-4FB1-872F-0D9F007A500A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C87675A9-6AC2-42DA-A5CF-511CDB1708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B2:B9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8765-4929-4A8B-BE42-5C88C25E23C4}">
  <dimension ref="A1:E8"/>
  <sheetViews>
    <sheetView workbookViewId="0">
      <selection activeCell="D4" sqref="D4"/>
    </sheetView>
  </sheetViews>
  <sheetFormatPr defaultRowHeight="15" x14ac:dyDescent="0.25"/>
  <cols>
    <col min="1" max="1" width="15.7109375" customWidth="1"/>
    <col min="2" max="2" width="15.5703125" customWidth="1"/>
    <col min="4" max="4" width="15.42578125" customWidth="1"/>
    <col min="5" max="5" width="16.140625" customWidth="1"/>
  </cols>
  <sheetData>
    <row r="1" spans="1:5" x14ac:dyDescent="0.25">
      <c r="A1" s="12" t="s">
        <v>28</v>
      </c>
      <c r="B1" s="12" t="s">
        <v>29</v>
      </c>
      <c r="D1" s="16" t="s">
        <v>37</v>
      </c>
      <c r="E1" s="17" t="s">
        <v>38</v>
      </c>
    </row>
    <row r="2" spans="1:5" x14ac:dyDescent="0.25">
      <c r="A2" s="14" t="s">
        <v>30</v>
      </c>
      <c r="B2" s="15">
        <v>1000</v>
      </c>
      <c r="D2" s="18" t="s">
        <v>39</v>
      </c>
      <c r="E2" s="5">
        <f>COUNTIF(B2:B8,"&gt;=1500")</f>
        <v>6</v>
      </c>
    </row>
    <row r="3" spans="1:5" x14ac:dyDescent="0.25">
      <c r="A3" s="14" t="s">
        <v>31</v>
      </c>
      <c r="B3" s="15">
        <v>2000</v>
      </c>
      <c r="D3" s="18" t="s">
        <v>40</v>
      </c>
      <c r="E3" s="5">
        <f>COUNTIF(B2:B8,"&lt;2500")</f>
        <v>4</v>
      </c>
    </row>
    <row r="4" spans="1:5" x14ac:dyDescent="0.25">
      <c r="A4" s="14" t="s">
        <v>32</v>
      </c>
      <c r="B4" s="16">
        <v>3000</v>
      </c>
      <c r="D4" s="18" t="s">
        <v>41</v>
      </c>
      <c r="E4" s="5">
        <f>COUNTIF(B2:B8,"=1000")</f>
        <v>1</v>
      </c>
    </row>
    <row r="5" spans="1:5" x14ac:dyDescent="0.25">
      <c r="A5" s="14" t="s">
        <v>33</v>
      </c>
      <c r="B5" s="16">
        <v>1500</v>
      </c>
    </row>
    <row r="6" spans="1:5" x14ac:dyDescent="0.25">
      <c r="A6" s="14" t="s">
        <v>34</v>
      </c>
      <c r="B6" s="16">
        <v>2300</v>
      </c>
    </row>
    <row r="7" spans="1:5" x14ac:dyDescent="0.25">
      <c r="A7" s="14" t="s">
        <v>35</v>
      </c>
      <c r="B7" s="16">
        <v>2500</v>
      </c>
    </row>
    <row r="8" spans="1:5" x14ac:dyDescent="0.25">
      <c r="A8" s="14" t="s">
        <v>36</v>
      </c>
      <c r="B8" s="16">
        <v>2900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460C-611F-45D3-9FC4-6C0C65C84830}">
  <dimension ref="A1:F8"/>
  <sheetViews>
    <sheetView workbookViewId="0">
      <selection activeCell="D8" sqref="D8"/>
    </sheetView>
  </sheetViews>
  <sheetFormatPr defaultRowHeight="15" x14ac:dyDescent="0.25"/>
  <cols>
    <col min="1" max="1" width="14.85546875" customWidth="1"/>
    <col min="2" max="2" width="14.5703125" customWidth="1"/>
    <col min="3" max="3" width="13.28515625" customWidth="1"/>
    <col min="4" max="4" width="11.42578125" customWidth="1"/>
    <col min="5" max="5" width="16.7109375" customWidth="1"/>
    <col min="6" max="6" width="16.85546875" customWidth="1"/>
  </cols>
  <sheetData>
    <row r="1" spans="1:6" ht="90" x14ac:dyDescent="0.25">
      <c r="A1" s="8" t="s">
        <v>42</v>
      </c>
      <c r="B1" s="8" t="s">
        <v>43</v>
      </c>
      <c r="C1" s="8" t="s">
        <v>44</v>
      </c>
      <c r="D1" s="8" t="s">
        <v>45</v>
      </c>
      <c r="E1" s="8" t="s">
        <v>46</v>
      </c>
      <c r="F1" s="8" t="s">
        <v>47</v>
      </c>
    </row>
    <row r="2" spans="1:6" x14ac:dyDescent="0.25">
      <c r="A2" s="19" t="s">
        <v>30</v>
      </c>
      <c r="B2" s="8">
        <v>1000</v>
      </c>
      <c r="C2" s="8">
        <v>100</v>
      </c>
      <c r="D2" s="8">
        <f>SUM(B2:C2)</f>
        <v>1100</v>
      </c>
      <c r="E2" s="8">
        <f>SUMIF(C2:C8,"&gt;0",D2:D8)</f>
        <v>7560</v>
      </c>
      <c r="F2" s="8">
        <f>SUMIF(C2:C8,"=0",D2:D8)</f>
        <v>8200</v>
      </c>
    </row>
    <row r="3" spans="1:6" x14ac:dyDescent="0.25">
      <c r="A3" s="19" t="s">
        <v>31</v>
      </c>
      <c r="B3" s="8">
        <v>2000</v>
      </c>
      <c r="C3" s="8">
        <v>150</v>
      </c>
      <c r="D3" s="8">
        <f t="shared" ref="D3:D8" si="0">SUM(B3:C3)</f>
        <v>2150</v>
      </c>
      <c r="E3" s="23" t="s">
        <v>48</v>
      </c>
      <c r="F3" s="23" t="s">
        <v>48</v>
      </c>
    </row>
    <row r="4" spans="1:6" x14ac:dyDescent="0.25">
      <c r="A4" s="19" t="s">
        <v>32</v>
      </c>
      <c r="B4" s="8">
        <v>3000</v>
      </c>
      <c r="C4" s="8">
        <v>0</v>
      </c>
      <c r="D4" s="8">
        <f t="shared" si="0"/>
        <v>3000</v>
      </c>
      <c r="E4" s="23"/>
      <c r="F4" s="23"/>
    </row>
    <row r="5" spans="1:6" x14ac:dyDescent="0.25">
      <c r="A5" s="19" t="s">
        <v>33</v>
      </c>
      <c r="B5" s="8">
        <v>1500</v>
      </c>
      <c r="C5" s="8">
        <v>130</v>
      </c>
      <c r="D5" s="8">
        <f t="shared" si="0"/>
        <v>1630</v>
      </c>
      <c r="E5" s="23"/>
      <c r="F5" s="23"/>
    </row>
    <row r="6" spans="1:6" x14ac:dyDescent="0.25">
      <c r="A6" s="19" t="s">
        <v>34</v>
      </c>
      <c r="B6" s="8">
        <v>2300</v>
      </c>
      <c r="C6" s="8">
        <v>0</v>
      </c>
      <c r="D6" s="8">
        <f t="shared" si="0"/>
        <v>2300</v>
      </c>
      <c r="E6" s="8">
        <f>COUNTIF(C2:C8,"&gt;0")</f>
        <v>4</v>
      </c>
      <c r="F6" s="8">
        <f>COUNTIF(C2:C8,"=0")</f>
        <v>3</v>
      </c>
    </row>
    <row r="7" spans="1:6" x14ac:dyDescent="0.25">
      <c r="A7" s="19" t="s">
        <v>35</v>
      </c>
      <c r="B7" s="8">
        <v>2500</v>
      </c>
      <c r="C7" s="8">
        <v>180</v>
      </c>
      <c r="D7" s="8">
        <f t="shared" si="0"/>
        <v>2680</v>
      </c>
      <c r="E7" s="20"/>
      <c r="F7" s="20"/>
    </row>
    <row r="8" spans="1:6" x14ac:dyDescent="0.25">
      <c r="A8" s="19" t="s">
        <v>36</v>
      </c>
      <c r="B8" s="8">
        <v>2900</v>
      </c>
      <c r="C8" s="8">
        <v>0</v>
      </c>
      <c r="D8" s="8">
        <f t="shared" si="0"/>
        <v>2900</v>
      </c>
      <c r="E8" s="20"/>
      <c r="F8" s="20"/>
    </row>
  </sheetData>
  <mergeCells count="2">
    <mergeCell ref="E3:E5"/>
    <mergeCell ref="F3:F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1B4F6-8891-4CF7-9E93-0FB0C4C56036}">
  <dimension ref="A1:E8"/>
  <sheetViews>
    <sheetView workbookViewId="0">
      <selection activeCell="D8" sqref="D8"/>
    </sheetView>
  </sheetViews>
  <sheetFormatPr defaultRowHeight="15" x14ac:dyDescent="0.25"/>
  <cols>
    <col min="1" max="1" width="17.140625" customWidth="1"/>
    <col min="2" max="2" width="19.85546875" customWidth="1"/>
    <col min="3" max="3" width="18.42578125" customWidth="1"/>
    <col min="4" max="4" width="15.42578125" customWidth="1"/>
    <col min="5" max="5" width="14.140625" customWidth="1"/>
  </cols>
  <sheetData>
    <row r="1" spans="1:5" x14ac:dyDescent="0.25">
      <c r="A1" s="25" t="s">
        <v>49</v>
      </c>
      <c r="B1" s="25"/>
      <c r="C1" s="25"/>
      <c r="D1" s="26">
        <v>12.5</v>
      </c>
      <c r="E1" s="26"/>
    </row>
    <row r="2" spans="1:5" x14ac:dyDescent="0.25">
      <c r="A2" s="25" t="s">
        <v>57</v>
      </c>
      <c r="B2" s="25"/>
      <c r="C2" s="25"/>
      <c r="D2" s="27">
        <v>3.2000000000000001E-2</v>
      </c>
      <c r="E2" s="26"/>
    </row>
    <row r="3" spans="1:5" x14ac:dyDescent="0.25">
      <c r="A3" s="25" t="s">
        <v>58</v>
      </c>
      <c r="B3" s="25"/>
      <c r="C3" s="25"/>
      <c r="D3" s="28">
        <v>0.05</v>
      </c>
      <c r="E3" s="26"/>
    </row>
    <row r="4" spans="1:5" x14ac:dyDescent="0.25">
      <c r="A4" s="24"/>
      <c r="B4" s="24"/>
      <c r="C4" s="24"/>
      <c r="D4" s="6"/>
      <c r="E4" s="6"/>
    </row>
    <row r="5" spans="1:5" ht="60" x14ac:dyDescent="0.25">
      <c r="A5" s="21" t="s">
        <v>50</v>
      </c>
      <c r="B5" s="21" t="s">
        <v>51</v>
      </c>
      <c r="C5" s="21" t="s">
        <v>52</v>
      </c>
      <c r="D5" s="21" t="s">
        <v>56</v>
      </c>
      <c r="E5" s="21" t="s">
        <v>53</v>
      </c>
    </row>
    <row r="6" spans="1:5" x14ac:dyDescent="0.25">
      <c r="A6" s="6" t="s">
        <v>30</v>
      </c>
      <c r="B6" s="6" t="s">
        <v>54</v>
      </c>
      <c r="C6" s="6">
        <v>125</v>
      </c>
      <c r="D6" s="6">
        <f>$D$1*C6</f>
        <v>1562.5</v>
      </c>
      <c r="E6" s="6">
        <f>IF(B6="пломбір",$D$2/100*D6*100,$D$3/100*D6*100)</f>
        <v>50</v>
      </c>
    </row>
    <row r="7" spans="1:5" x14ac:dyDescent="0.25">
      <c r="A7" s="6" t="s">
        <v>31</v>
      </c>
      <c r="B7" s="6" t="s">
        <v>55</v>
      </c>
      <c r="C7" s="6">
        <v>130</v>
      </c>
      <c r="D7" s="6">
        <f t="shared" ref="D7:D8" si="0">$D$1*C7</f>
        <v>1625</v>
      </c>
      <c r="E7" s="6">
        <f t="shared" ref="E7:E8" si="1">IF(B7="пломбір",$D$2/100*D7*100,$D$3/100*D7*100)</f>
        <v>81.25</v>
      </c>
    </row>
    <row r="8" spans="1:5" x14ac:dyDescent="0.25">
      <c r="A8" s="6" t="s">
        <v>32</v>
      </c>
      <c r="B8" s="6" t="s">
        <v>54</v>
      </c>
      <c r="C8" s="6">
        <v>210</v>
      </c>
      <c r="D8" s="6">
        <f t="shared" si="0"/>
        <v>2625</v>
      </c>
      <c r="E8" s="6">
        <f t="shared" si="1"/>
        <v>84.000000000000014</v>
      </c>
    </row>
  </sheetData>
  <mergeCells count="7">
    <mergeCell ref="A4:C4"/>
    <mergeCell ref="A1:C1"/>
    <mergeCell ref="D1:E1"/>
    <mergeCell ref="A2:C2"/>
    <mergeCell ref="A3:C3"/>
    <mergeCell ref="D2:E2"/>
    <mergeCell ref="D3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DD98F-1472-413D-9A7E-064CD692E9DE}">
  <dimension ref="A1:N9"/>
  <sheetViews>
    <sheetView tabSelected="1" workbookViewId="0">
      <selection activeCell="M8" sqref="M8"/>
    </sheetView>
  </sheetViews>
  <sheetFormatPr defaultRowHeight="15" x14ac:dyDescent="0.25"/>
  <cols>
    <col min="2" max="2" width="28.42578125" customWidth="1"/>
    <col min="3" max="3" width="12.7109375" customWidth="1"/>
    <col min="4" max="4" width="13.5703125" customWidth="1"/>
    <col min="5" max="5" width="12.28515625" customWidth="1"/>
    <col min="6" max="6" width="12.42578125" customWidth="1"/>
    <col min="7" max="7" width="12.5703125" customWidth="1"/>
    <col min="8" max="8" width="12.140625" customWidth="1"/>
    <col min="9" max="9" width="12.28515625" customWidth="1"/>
    <col min="10" max="10" width="11.42578125" customWidth="1"/>
    <col min="11" max="11" width="11.7109375" customWidth="1"/>
    <col min="12" max="12" width="12.85546875" customWidth="1"/>
    <col min="13" max="13" width="12.28515625" customWidth="1"/>
    <col min="14" max="14" width="11.42578125" customWidth="1"/>
  </cols>
  <sheetData>
    <row r="1" spans="1:14" ht="30" x14ac:dyDescent="0.25">
      <c r="A1" s="42" t="s">
        <v>59</v>
      </c>
      <c r="B1" s="43" t="s">
        <v>60</v>
      </c>
      <c r="C1" s="44" t="s">
        <v>61</v>
      </c>
      <c r="D1" s="29">
        <v>43831</v>
      </c>
      <c r="E1" s="30">
        <v>44197</v>
      </c>
      <c r="F1" s="30">
        <v>44562</v>
      </c>
      <c r="G1" s="30">
        <v>44927</v>
      </c>
      <c r="H1" s="30">
        <v>45292</v>
      </c>
      <c r="I1" s="30">
        <v>45658</v>
      </c>
      <c r="J1" s="30">
        <v>46023</v>
      </c>
      <c r="K1" s="30">
        <v>46388</v>
      </c>
      <c r="L1" s="30">
        <v>46753</v>
      </c>
      <c r="M1" s="30">
        <v>47119</v>
      </c>
      <c r="N1" s="31">
        <v>47484</v>
      </c>
    </row>
    <row r="2" spans="1:14" x14ac:dyDescent="0.25">
      <c r="A2" s="32">
        <v>1</v>
      </c>
      <c r="B2" s="33" t="s">
        <v>62</v>
      </c>
      <c r="C2" s="34">
        <v>27169</v>
      </c>
      <c r="D2" s="35">
        <f>INT(YEARFRAC($C2,D$1))</f>
        <v>45</v>
      </c>
      <c r="E2" s="35">
        <f t="shared" ref="E2:N2" si="0">INT(YEARFRAC($C2,E$1))</f>
        <v>46</v>
      </c>
      <c r="F2" s="35">
        <f t="shared" si="0"/>
        <v>47</v>
      </c>
      <c r="G2" s="35">
        <f t="shared" si="0"/>
        <v>48</v>
      </c>
      <c r="H2" s="35">
        <f t="shared" si="0"/>
        <v>49</v>
      </c>
      <c r="I2" s="35">
        <f t="shared" si="0"/>
        <v>50</v>
      </c>
      <c r="J2" s="35">
        <f t="shared" si="0"/>
        <v>51</v>
      </c>
      <c r="K2" s="35">
        <f t="shared" si="0"/>
        <v>52</v>
      </c>
      <c r="L2" s="35">
        <f t="shared" si="0"/>
        <v>53</v>
      </c>
      <c r="M2" s="35">
        <f t="shared" si="0"/>
        <v>54</v>
      </c>
      <c r="N2" s="35">
        <f t="shared" si="0"/>
        <v>55</v>
      </c>
    </row>
    <row r="3" spans="1:14" x14ac:dyDescent="0.25">
      <c r="A3" s="36">
        <v>2</v>
      </c>
      <c r="B3" s="37" t="s">
        <v>63</v>
      </c>
      <c r="C3" s="38">
        <v>28178</v>
      </c>
      <c r="D3" s="35">
        <f t="shared" ref="D3:N9" si="1">INT(YEARFRAC($C3,D$1))</f>
        <v>42</v>
      </c>
      <c r="E3" s="35">
        <f t="shared" si="1"/>
        <v>43</v>
      </c>
      <c r="F3" s="35">
        <f t="shared" si="1"/>
        <v>44</v>
      </c>
      <c r="G3" s="35">
        <f t="shared" si="1"/>
        <v>45</v>
      </c>
      <c r="H3" s="35">
        <f t="shared" si="1"/>
        <v>46</v>
      </c>
      <c r="I3" s="35">
        <f t="shared" si="1"/>
        <v>47</v>
      </c>
      <c r="J3" s="35">
        <f t="shared" si="1"/>
        <v>48</v>
      </c>
      <c r="K3" s="35">
        <f t="shared" si="1"/>
        <v>49</v>
      </c>
      <c r="L3" s="35">
        <f t="shared" si="1"/>
        <v>50</v>
      </c>
      <c r="M3" s="35">
        <f t="shared" si="1"/>
        <v>51</v>
      </c>
      <c r="N3" s="35">
        <f t="shared" si="1"/>
        <v>52</v>
      </c>
    </row>
    <row r="4" spans="1:14" x14ac:dyDescent="0.25">
      <c r="A4" s="39">
        <v>3</v>
      </c>
      <c r="B4" s="40" t="s">
        <v>64</v>
      </c>
      <c r="C4" s="41">
        <v>30601</v>
      </c>
      <c r="D4" s="35">
        <f t="shared" si="1"/>
        <v>36</v>
      </c>
      <c r="E4" s="35">
        <f t="shared" si="1"/>
        <v>37</v>
      </c>
      <c r="F4" s="35">
        <f t="shared" si="1"/>
        <v>38</v>
      </c>
      <c r="G4" s="35">
        <f t="shared" si="1"/>
        <v>39</v>
      </c>
      <c r="H4" s="35">
        <f t="shared" si="1"/>
        <v>40</v>
      </c>
      <c r="I4" s="35">
        <f t="shared" si="1"/>
        <v>41</v>
      </c>
      <c r="J4" s="35">
        <f t="shared" si="1"/>
        <v>42</v>
      </c>
      <c r="K4" s="35">
        <f t="shared" si="1"/>
        <v>43</v>
      </c>
      <c r="L4" s="35">
        <f t="shared" si="1"/>
        <v>44</v>
      </c>
      <c r="M4" s="35">
        <f t="shared" si="1"/>
        <v>45</v>
      </c>
      <c r="N4" s="35">
        <f t="shared" si="1"/>
        <v>46</v>
      </c>
    </row>
    <row r="5" spans="1:14" x14ac:dyDescent="0.25">
      <c r="A5" s="39">
        <v>4</v>
      </c>
      <c r="B5" s="40" t="s">
        <v>65</v>
      </c>
      <c r="C5" s="41">
        <v>29772</v>
      </c>
      <c r="D5" s="35">
        <f t="shared" si="1"/>
        <v>38</v>
      </c>
      <c r="E5" s="35">
        <f t="shared" si="1"/>
        <v>39</v>
      </c>
      <c r="F5" s="35">
        <f t="shared" si="1"/>
        <v>40</v>
      </c>
      <c r="G5" s="35">
        <f t="shared" si="1"/>
        <v>41</v>
      </c>
      <c r="H5" s="35">
        <f t="shared" si="1"/>
        <v>42</v>
      </c>
      <c r="I5" s="35">
        <f t="shared" si="1"/>
        <v>43</v>
      </c>
      <c r="J5" s="35">
        <f t="shared" si="1"/>
        <v>44</v>
      </c>
      <c r="K5" s="35">
        <f t="shared" si="1"/>
        <v>45</v>
      </c>
      <c r="L5" s="35">
        <f t="shared" si="1"/>
        <v>46</v>
      </c>
      <c r="M5" s="35">
        <f t="shared" si="1"/>
        <v>47</v>
      </c>
      <c r="N5" s="35">
        <f t="shared" si="1"/>
        <v>48</v>
      </c>
    </row>
    <row r="6" spans="1:14" x14ac:dyDescent="0.25">
      <c r="A6" s="39">
        <v>5</v>
      </c>
      <c r="B6" s="40" t="s">
        <v>66</v>
      </c>
      <c r="C6" s="41">
        <v>29753</v>
      </c>
      <c r="D6" s="35">
        <f t="shared" si="1"/>
        <v>38</v>
      </c>
      <c r="E6" s="35">
        <f t="shared" si="1"/>
        <v>39</v>
      </c>
      <c r="F6" s="35">
        <f t="shared" si="1"/>
        <v>40</v>
      </c>
      <c r="G6" s="35">
        <f t="shared" si="1"/>
        <v>41</v>
      </c>
      <c r="H6" s="35">
        <f t="shared" si="1"/>
        <v>42</v>
      </c>
      <c r="I6" s="35">
        <f t="shared" si="1"/>
        <v>43</v>
      </c>
      <c r="J6" s="35">
        <f t="shared" si="1"/>
        <v>44</v>
      </c>
      <c r="K6" s="35">
        <f t="shared" si="1"/>
        <v>45</v>
      </c>
      <c r="L6" s="35">
        <f t="shared" si="1"/>
        <v>46</v>
      </c>
      <c r="M6" s="35">
        <f t="shared" si="1"/>
        <v>47</v>
      </c>
      <c r="N6" s="35">
        <f t="shared" si="1"/>
        <v>48</v>
      </c>
    </row>
    <row r="7" spans="1:14" x14ac:dyDescent="0.25">
      <c r="A7" s="39">
        <v>6</v>
      </c>
      <c r="B7" s="40" t="s">
        <v>67</v>
      </c>
      <c r="C7" s="41">
        <v>34354</v>
      </c>
      <c r="D7" s="35">
        <f t="shared" si="1"/>
        <v>25</v>
      </c>
      <c r="E7" s="35">
        <f t="shared" si="1"/>
        <v>26</v>
      </c>
      <c r="F7" s="35">
        <f t="shared" si="1"/>
        <v>27</v>
      </c>
      <c r="G7" s="35">
        <f t="shared" si="1"/>
        <v>28</v>
      </c>
      <c r="H7" s="35">
        <f t="shared" si="1"/>
        <v>29</v>
      </c>
      <c r="I7" s="35">
        <f t="shared" si="1"/>
        <v>30</v>
      </c>
      <c r="J7" s="35">
        <f t="shared" si="1"/>
        <v>31</v>
      </c>
      <c r="K7" s="35">
        <f t="shared" si="1"/>
        <v>32</v>
      </c>
      <c r="L7" s="35">
        <f t="shared" si="1"/>
        <v>33</v>
      </c>
      <c r="M7" s="35">
        <f t="shared" si="1"/>
        <v>34</v>
      </c>
      <c r="N7" s="35">
        <f t="shared" si="1"/>
        <v>35</v>
      </c>
    </row>
    <row r="8" spans="1:14" x14ac:dyDescent="0.25">
      <c r="A8" s="39">
        <v>7</v>
      </c>
      <c r="B8" s="40" t="s">
        <v>68</v>
      </c>
      <c r="C8" s="41">
        <v>33346</v>
      </c>
      <c r="D8" s="35">
        <f t="shared" si="1"/>
        <v>28</v>
      </c>
      <c r="E8" s="35">
        <f t="shared" si="1"/>
        <v>29</v>
      </c>
      <c r="F8" s="35">
        <f t="shared" si="1"/>
        <v>30</v>
      </c>
      <c r="G8" s="35">
        <f t="shared" si="1"/>
        <v>31</v>
      </c>
      <c r="H8" s="35">
        <f t="shared" si="1"/>
        <v>32</v>
      </c>
      <c r="I8" s="35">
        <f t="shared" si="1"/>
        <v>33</v>
      </c>
      <c r="J8" s="35">
        <f t="shared" si="1"/>
        <v>34</v>
      </c>
      <c r="K8" s="35">
        <f t="shared" si="1"/>
        <v>35</v>
      </c>
      <c r="L8" s="35">
        <f t="shared" si="1"/>
        <v>36</v>
      </c>
      <c r="M8" s="35">
        <f t="shared" si="1"/>
        <v>37</v>
      </c>
      <c r="N8" s="35">
        <f t="shared" si="1"/>
        <v>38</v>
      </c>
    </row>
    <row r="9" spans="1:14" x14ac:dyDescent="0.25">
      <c r="A9" s="39">
        <v>8</v>
      </c>
      <c r="B9" s="40" t="s">
        <v>69</v>
      </c>
      <c r="C9" s="41">
        <v>29224</v>
      </c>
      <c r="D9" s="35">
        <f t="shared" si="1"/>
        <v>39</v>
      </c>
      <c r="E9" s="35">
        <f t="shared" si="1"/>
        <v>40</v>
      </c>
      <c r="F9" s="35">
        <f t="shared" si="1"/>
        <v>41</v>
      </c>
      <c r="G9" s="35">
        <f t="shared" si="1"/>
        <v>42</v>
      </c>
      <c r="H9" s="35">
        <f t="shared" si="1"/>
        <v>43</v>
      </c>
      <c r="I9" s="35">
        <f t="shared" si="1"/>
        <v>44</v>
      </c>
      <c r="J9" s="35">
        <f t="shared" si="1"/>
        <v>45</v>
      </c>
      <c r="K9" s="35">
        <f t="shared" si="1"/>
        <v>46</v>
      </c>
      <c r="L9" s="35">
        <f t="shared" si="1"/>
        <v>47</v>
      </c>
      <c r="M9" s="35">
        <f t="shared" si="1"/>
        <v>48</v>
      </c>
      <c r="N9" s="35">
        <f t="shared" si="1"/>
        <v>49</v>
      </c>
    </row>
  </sheetData>
  <conditionalFormatting sqref="D2:N9">
    <cfRule type="endsWith" dxfId="0" priority="1" operator="endsWith" text="5">
      <formula>RIGHT(D2,LEN("5"))="5"</formula>
    </cfRule>
    <cfRule type="endsWith" dxfId="1" priority="2" operator="endsWith" text="0">
      <formula>RIGHT(D2,LEN("0"))="0"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7</vt:i4>
      </vt:variant>
    </vt:vector>
  </HeadingPairs>
  <TitlesOfParts>
    <vt:vector size="7" baseType="lpstr">
      <vt:lpstr>Практична_8.1</vt:lpstr>
      <vt:lpstr>Практична_8.2</vt:lpstr>
      <vt:lpstr>Практична 9.1</vt:lpstr>
      <vt:lpstr>Практична 9.2</vt:lpstr>
      <vt:lpstr>Практична 9.3</vt:lpstr>
      <vt:lpstr>Практична 9.4</vt:lpstr>
      <vt:lpstr>Практична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FORZ</dc:creator>
  <cp:lastModifiedBy>FORZ</cp:lastModifiedBy>
  <dcterms:created xsi:type="dcterms:W3CDTF">2015-06-05T18:19:34Z</dcterms:created>
  <dcterms:modified xsi:type="dcterms:W3CDTF">2023-04-25T11:47:22Z</dcterms:modified>
</cp:coreProperties>
</file>